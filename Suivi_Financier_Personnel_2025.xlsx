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s" sheetId="2" state="visible" r:id="rId2"/>
    <sheet name="Dépenses Fixes" sheetId="3" state="visible" r:id="rId3"/>
    <sheet name="Dépenses Variables" sheetId="4" state="visible" r:id="rId4"/>
    <sheet name="Épargne" sheetId="5" state="visible" r:id="rId5"/>
    <sheet name="Investissements Bourse" sheetId="6" state="visible" r:id="rId6"/>
    <sheet name="Patrimoine Glob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MAD&quot;"/>
    <numFmt numFmtId="165" formatCode="0.0%"/>
    <numFmt numFmtId="166" formatCode="0.0 &quot;mois&quot;"/>
  </numFmts>
  <fonts count="20">
    <font>
      <name val="Calibri"/>
      <family val="2"/>
      <color theme="1"/>
      <sz val="11"/>
      <scheme val="minor"/>
    </font>
    <font>
      <b val="1"/>
      <color rgb="001a365d"/>
      <sz val="16"/>
    </font>
    <font>
      <b val="1"/>
      <color rgb="00FFFFFF"/>
      <sz val="12"/>
    </font>
    <font>
      <color rgb="00000000"/>
    </font>
    <font>
      <b val="1"/>
      <color rgb="001a365d"/>
    </font>
    <font>
      <b val="1"/>
      <color rgb="00FFFFFF"/>
    </font>
    <font>
      <b val="1"/>
      <color rgb="001a365d"/>
      <sz val="14"/>
    </font>
    <font>
      <i val="1"/>
      <color rgb="00718096"/>
    </font>
    <font>
      <b val="1"/>
      <color rgb="0038a169"/>
      <sz val="14"/>
    </font>
    <font>
      <b val="1"/>
    </font>
    <font>
      <b val="1"/>
      <sz val="12"/>
    </font>
    <font>
      <b val="1"/>
      <color rgb="0038a169"/>
    </font>
    <font>
      <b val="1"/>
      <color rgb="0038a169"/>
      <sz val="12"/>
    </font>
    <font>
      <b val="1"/>
      <color rgb="001a365d"/>
      <sz val="20"/>
    </font>
    <font>
      <b val="1"/>
      <sz val="11"/>
    </font>
    <font>
      <b val="1"/>
      <color rgb="00e53e3e"/>
      <sz val="14"/>
    </font>
    <font>
      <b val="1"/>
      <color rgb="004299e1"/>
      <sz val="14"/>
    </font>
    <font>
      <b val="1"/>
      <color rgb="0038a169"/>
      <sz val="16"/>
    </font>
    <font>
      <b val="1"/>
      <color rgb="004299e1"/>
      <sz val="16"/>
    </font>
    <font>
      <color rgb="00718096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2e8f0"/>
        <bgColor rgb="00e2e8f0"/>
      </patternFill>
    </fill>
    <fill>
      <patternFill patternType="solid">
        <fgColor rgb="004299e1"/>
        <bgColor rgb="004299e1"/>
      </patternFill>
    </fill>
    <fill>
      <patternFill patternType="solid">
        <fgColor rgb="0038a169"/>
        <bgColor rgb="0038a1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6" fillId="0" borderId="0" pivotButton="0" quotePrefix="0" xfId="0"/>
    <xf numFmtId="0" fontId="14" fillId="0" borderId="0" pivotButton="0" quotePrefix="0" xfId="0"/>
    <xf numFmtId="164" fontId="6" fillId="0" borderId="0" pivotButton="0" quotePrefix="0" xfId="0"/>
    <xf numFmtId="164" fontId="15" fillId="0" borderId="0" pivotButton="0" quotePrefix="0" xfId="0"/>
    <xf numFmtId="164" fontId="8" fillId="0" borderId="0" pivotButton="0" quotePrefix="0" xfId="0"/>
    <xf numFmtId="164" fontId="1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left" vertical="center"/>
    </xf>
    <xf numFmtId="165" fontId="5" fillId="2" borderId="1" applyAlignment="1" pivotButton="0" quotePrefix="0" xfId="0">
      <alignment horizontal="left" vertical="center"/>
    </xf>
    <xf numFmtId="0" fontId="9" fillId="0" borderId="0" pivotButton="0" quotePrefix="0" xfId="0"/>
    <xf numFmtId="164" fontId="12" fillId="0" borderId="0" pivotButton="0" quotePrefix="0" xfId="0"/>
    <xf numFmtId="0" fontId="19" fillId="0" borderId="0" pivotButton="0" quotePrefix="0" xfId="0"/>
    <xf numFmtId="10" fontId="12" fillId="0" borderId="0" pivotButton="0" quotePrefix="0" xfId="0"/>
    <xf numFmtId="165" fontId="17" fillId="0" borderId="0" pivotButton="0" quotePrefix="0" xfId="0"/>
    <xf numFmtId="0" fontId="11" fillId="0" borderId="0" pivotButton="0" quotePrefix="0" xfId="0"/>
    <xf numFmtId="166" fontId="18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164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7" fillId="0" borderId="0" pivotButton="0" quotePrefix="0" xfId="0"/>
    <xf numFmtId="165" fontId="3" fillId="3" borderId="1" applyAlignment="1" pivotButton="0" quotePrefix="0" xfId="0">
      <alignment horizontal="left" vertical="center"/>
    </xf>
    <xf numFmtId="0" fontId="8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164" fontId="10" fillId="0" borderId="0" pivotButton="0" quotePrefix="0" xfId="0"/>
    <xf numFmtId="10" fontId="10" fillId="0" borderId="0" pivotButton="0" quotePrefix="0" xfId="0"/>
    <xf numFmtId="166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du Salaire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'Dashboard'!$A$12:$A$16</f>
            </numRef>
          </cat>
          <val>
            <numRef>
              <f>'Dashboard'!$B$12:$B$16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Évolution du Patrimoine</a:t>
            </a:r>
          </a:p>
        </rich>
      </tx>
    </title>
    <plotArea>
      <lineChart>
        <grouping val="standard"/>
        <ser>
          <idx val="0"/>
          <order val="0"/>
          <tx>
            <strRef>
              <f>'Patrimoine Global'!E3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'Patrimoine Global'!$A$4:$A$15</f>
            </numRef>
          </cat>
          <val>
            <numRef>
              <f>'Patrimoine Global'!$E$4:$E$15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📊 TABLEAU DE BORD FINANCIER</t>
        </is>
      </c>
    </row>
    <row r="2">
      <c r="A2" s="2" t="inlineStr">
        <is>
          <t>Mise à jour: 20/01/2026</t>
        </is>
      </c>
    </row>
    <row r="4">
      <c r="A4" s="3" t="inlineStr">
        <is>
          <t>💰 INDICATEURS CLÉS</t>
        </is>
      </c>
    </row>
    <row r="5">
      <c r="A5" s="4" t="inlineStr">
        <is>
          <t>Salaire Mensuel</t>
        </is>
      </c>
      <c r="B5" s="5">
        <f>Revenus!F4</f>
        <v/>
      </c>
    </row>
    <row r="6">
      <c r="A6" s="4" t="inlineStr">
        <is>
          <t>Dépenses Fixes</t>
        </is>
      </c>
      <c r="B6" s="6">
        <f>"Dépenses Fixes"!B10</f>
        <v/>
      </c>
    </row>
    <row r="7">
      <c r="A7" s="4" t="inlineStr">
        <is>
          <t>Épargne Totale/Mois</t>
        </is>
      </c>
      <c r="B7" s="7">
        <f>4000</f>
        <v/>
      </c>
    </row>
    <row r="8">
      <c r="A8" s="4" t="inlineStr">
        <is>
          <t>Investissement/Mois</t>
        </is>
      </c>
      <c r="B8" s="8">
        <f>1000</f>
        <v/>
      </c>
    </row>
    <row r="10">
      <c r="A10" s="3" t="inlineStr">
        <is>
          <t>📈 RÉPARTITION DU SALAIRE</t>
        </is>
      </c>
    </row>
    <row r="11">
      <c r="A11" s="9" t="inlineStr">
        <is>
          <t>Catégorie</t>
        </is>
      </c>
      <c r="B11" s="9" t="inlineStr">
        <is>
          <t>Montant</t>
        </is>
      </c>
      <c r="C11" s="9" t="inlineStr">
        <is>
          <t>% du Salaire</t>
        </is>
      </c>
    </row>
    <row r="12">
      <c r="A12" s="10" t="inlineStr">
        <is>
          <t>Dépenses Fixes</t>
        </is>
      </c>
      <c r="B12" s="11">
        <f>"Dépenses Fixes"!B10</f>
        <v/>
      </c>
      <c r="C12" s="12">
        <f>"Dépenses Fixes"!B10/14000</f>
        <v/>
      </c>
    </row>
    <row r="13">
      <c r="A13" s="10" t="inlineStr">
        <is>
          <t>Épargne Personnelle</t>
        </is>
      </c>
      <c r="B13" s="11" t="n">
        <v>2000</v>
      </c>
      <c r="C13" s="12">
        <f>2000/14000</f>
        <v/>
      </c>
    </row>
    <row r="14">
      <c r="A14" s="10" t="inlineStr">
        <is>
          <t>Épargne Famille</t>
        </is>
      </c>
      <c r="B14" s="11" t="n">
        <v>2000</v>
      </c>
      <c r="C14" s="12">
        <f>2000/14000</f>
        <v/>
      </c>
    </row>
    <row r="15">
      <c r="A15" s="10" t="inlineStr">
        <is>
          <t>Investissements</t>
        </is>
      </c>
      <c r="B15" s="11" t="n">
        <v>1000</v>
      </c>
      <c r="C15" s="12">
        <f>1000/14000</f>
        <v/>
      </c>
    </row>
    <row r="16">
      <c r="A16" s="10" t="inlineStr">
        <is>
          <t>Reste à Vivre</t>
        </is>
      </c>
      <c r="B16" s="11">
        <f>14000-"Dépenses Fixes"!B10-2000-2000-1000</f>
        <v/>
      </c>
      <c r="C16" s="12">
        <f>(14000-"Dépenses Fixes"!B10-2000-2000-1000)/14000</f>
        <v/>
      </c>
    </row>
    <row r="17">
      <c r="A17" s="13" t="inlineStr">
        <is>
          <t>TOTAL</t>
        </is>
      </c>
      <c r="B17" s="14" t="n">
        <v>14000</v>
      </c>
      <c r="C17" s="15" t="n">
        <v>1</v>
      </c>
    </row>
    <row r="20">
      <c r="A20" s="3" t="inlineStr">
        <is>
          <t>💎 PATRIMOINE &amp; OBJECTIFS</t>
        </is>
      </c>
      <c r="E20" s="3" t="inlineStr">
        <is>
          <t>📝 NOTES &amp; CONSEILS</t>
        </is>
      </c>
    </row>
    <row r="21">
      <c r="A21" s="16" t="inlineStr">
        <is>
          <t>Patrimoine Total Actuel</t>
        </is>
      </c>
      <c r="B21" s="17">
        <f>"Patrimoine Global"!E6</f>
        <v/>
      </c>
      <c r="E21" s="18" t="inlineStr">
        <is>
          <t>✓ Taux d'épargne excellent (28.5%)</t>
        </is>
      </c>
    </row>
    <row r="22">
      <c r="A22" s="16" t="inlineStr">
        <is>
          <t>Épargne Personnelle Cumulée</t>
        </is>
      </c>
      <c r="B22" s="17">
        <f>Épargne!E8</f>
        <v/>
      </c>
      <c r="E22" s="18" t="inlineStr">
        <is>
          <t>✓ Objectif: 6 mois d'épargne d'urgence</t>
        </is>
      </c>
    </row>
    <row r="23">
      <c r="A23" s="16" t="inlineStr">
        <is>
          <t>Épargne Famille Totale</t>
        </is>
      </c>
      <c r="B23" s="17">
        <f>Épargne!C24</f>
        <v/>
      </c>
      <c r="E23" s="18" t="inlineStr">
        <is>
          <t>• Diversifier les investissements</t>
        </is>
      </c>
    </row>
    <row r="24">
      <c r="A24" s="16" t="inlineStr">
        <is>
          <t>Valeur Portefeuille Bourse</t>
        </is>
      </c>
      <c r="B24" s="17">
        <f>"Investissements Bourse"!H15</f>
        <v/>
      </c>
      <c r="E24" s="18" t="inlineStr">
        <is>
          <t>• Suivre mensuellement les performances</t>
        </is>
      </c>
    </row>
    <row r="25">
      <c r="A25" s="16" t="inlineStr">
        <is>
          <t>Performance Bourse</t>
        </is>
      </c>
      <c r="B25" s="19">
        <f>"Investissements Bourse"!J15</f>
        <v/>
      </c>
      <c r="E25" s="18" t="inlineStr">
        <is>
          <t>• Réajuster le budget si nécessaire</t>
        </is>
      </c>
    </row>
    <row r="27">
      <c r="A27" s="3" t="inlineStr">
        <is>
          <t>🎯 TAUX D'ÉPARGNE</t>
        </is>
      </c>
    </row>
    <row r="28">
      <c r="A28" s="16" t="inlineStr">
        <is>
          <t>Taux d'épargne actuel:</t>
        </is>
      </c>
      <c r="B28" s="20">
        <f>4000/14000</f>
        <v/>
      </c>
    </row>
    <row r="29">
      <c r="A29" s="21" t="inlineStr">
        <is>
          <t>Objectif: 28.5% ✓ ATTEINT!</t>
        </is>
      </c>
    </row>
    <row r="30">
      <c r="A30" s="16" t="inlineStr">
        <is>
          <t>Mois d'épargne d'urgence disponibles:</t>
        </is>
      </c>
      <c r="B30" s="22">
        <f>Épargne!E8/Revenus!C4</f>
        <v/>
      </c>
    </row>
  </sheetData>
  <mergeCells count="24">
    <mergeCell ref="B7:C7"/>
    <mergeCell ref="B25:C25"/>
    <mergeCell ref="A4:D4"/>
    <mergeCell ref="A20:D20"/>
    <mergeCell ref="B22:C22"/>
    <mergeCell ref="E25:H25"/>
    <mergeCell ref="A1:H1"/>
    <mergeCell ref="A10:D10"/>
    <mergeCell ref="E22:H22"/>
    <mergeCell ref="B21:C21"/>
    <mergeCell ref="B23:C23"/>
    <mergeCell ref="E21:H21"/>
    <mergeCell ref="A29:C29"/>
    <mergeCell ref="B8:C8"/>
    <mergeCell ref="E24:H24"/>
    <mergeCell ref="E23:H23"/>
    <mergeCell ref="A2:H2"/>
    <mergeCell ref="B28:C28"/>
    <mergeCell ref="E20:H20"/>
    <mergeCell ref="B6:C6"/>
    <mergeCell ref="B24:C24"/>
    <mergeCell ref="A27:D27"/>
    <mergeCell ref="B30:C30"/>
    <mergeCell ref="B5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8a169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3" t="inlineStr">
        <is>
          <t>SUIVI DES REVENUS</t>
        </is>
      </c>
    </row>
    <row r="3">
      <c r="A3" s="9" t="inlineStr">
        <is>
          <t>Mois</t>
        </is>
      </c>
      <c r="B3" s="9" t="inlineStr">
        <is>
          <t>Année</t>
        </is>
      </c>
      <c r="C3" s="9" t="inlineStr">
        <is>
          <t>Salaire Net</t>
        </is>
      </c>
      <c r="D3" s="9" t="inlineStr">
        <is>
          <t>Primes/Bonus</t>
        </is>
      </c>
      <c r="E3" s="9" t="inlineStr">
        <is>
          <t>Autres Revenus</t>
        </is>
      </c>
      <c r="F3" s="9" t="inlineStr">
        <is>
          <t>TOTAL</t>
        </is>
      </c>
    </row>
    <row r="4">
      <c r="A4" s="24" t="inlineStr">
        <is>
          <t>Janvier</t>
        </is>
      </c>
      <c r="B4" s="24" t="n">
        <v>2025</v>
      </c>
      <c r="C4" s="25" t="n">
        <v>14000</v>
      </c>
      <c r="D4" s="25" t="n">
        <v>0</v>
      </c>
      <c r="E4" s="25" t="n">
        <v>0</v>
      </c>
      <c r="F4" s="25">
        <f>C4+D4+E4</f>
        <v/>
      </c>
    </row>
    <row r="5">
      <c r="A5" s="10" t="inlineStr">
        <is>
          <t>Février</t>
        </is>
      </c>
      <c r="B5" s="10" t="n">
        <v>2025</v>
      </c>
      <c r="C5" s="11" t="n">
        <v>14000</v>
      </c>
      <c r="D5" s="11" t="n">
        <v>0</v>
      </c>
      <c r="E5" s="11" t="n">
        <v>0</v>
      </c>
      <c r="F5" s="11">
        <f>C5+D5+E5</f>
        <v/>
      </c>
    </row>
    <row r="6">
      <c r="A6" s="24" t="inlineStr">
        <is>
          <t>Mars</t>
        </is>
      </c>
      <c r="B6" s="24" t="n">
        <v>2025</v>
      </c>
      <c r="C6" s="25" t="n">
        <v>14000</v>
      </c>
      <c r="D6" s="25" t="n">
        <v>0</v>
      </c>
      <c r="E6" s="25" t="n">
        <v>0</v>
      </c>
      <c r="F6" s="25">
        <f>C6+D6+E6</f>
        <v/>
      </c>
    </row>
    <row r="7">
      <c r="A7" s="10" t="inlineStr">
        <is>
          <t>Avril</t>
        </is>
      </c>
      <c r="B7" s="10" t="n">
        <v>2025</v>
      </c>
      <c r="C7" s="11" t="n"/>
      <c r="D7" s="11" t="n"/>
      <c r="E7" s="11" t="n"/>
      <c r="F7" s="11">
        <f>C7+D7+E7</f>
        <v/>
      </c>
    </row>
    <row r="8">
      <c r="A8" s="24" t="inlineStr">
        <is>
          <t>Mai</t>
        </is>
      </c>
      <c r="B8" s="24" t="n">
        <v>2025</v>
      </c>
      <c r="C8" s="25" t="n"/>
      <c r="D8" s="25" t="n"/>
      <c r="E8" s="25" t="n"/>
      <c r="F8" s="25">
        <f>C8+D8+E8</f>
        <v/>
      </c>
    </row>
    <row r="9">
      <c r="A9" s="10" t="inlineStr">
        <is>
          <t>Juin</t>
        </is>
      </c>
      <c r="B9" s="10" t="n">
        <v>2025</v>
      </c>
      <c r="C9" s="11" t="n"/>
      <c r="D9" s="11" t="n"/>
      <c r="E9" s="11" t="n"/>
      <c r="F9" s="11">
        <f>C9+D9+E9</f>
        <v/>
      </c>
    </row>
    <row r="10">
      <c r="A10" s="24" t="inlineStr">
        <is>
          <t>Juillet</t>
        </is>
      </c>
      <c r="B10" s="24" t="n">
        <v>2025</v>
      </c>
      <c r="C10" s="25" t="n"/>
      <c r="D10" s="25" t="n"/>
      <c r="E10" s="25" t="n"/>
      <c r="F10" s="25">
        <f>C10+D10+E10</f>
        <v/>
      </c>
    </row>
    <row r="11">
      <c r="A11" s="10" t="inlineStr">
        <is>
          <t>Août</t>
        </is>
      </c>
      <c r="B11" s="10" t="n">
        <v>2025</v>
      </c>
      <c r="C11" s="11" t="n"/>
      <c r="D11" s="11" t="n"/>
      <c r="E11" s="11" t="n"/>
      <c r="F11" s="11">
        <f>C11+D11+E11</f>
        <v/>
      </c>
    </row>
    <row r="12">
      <c r="A12" s="24" t="inlineStr">
        <is>
          <t>Septembre</t>
        </is>
      </c>
      <c r="B12" s="24" t="n">
        <v>2025</v>
      </c>
      <c r="C12" s="25" t="n"/>
      <c r="D12" s="25" t="n"/>
      <c r="E12" s="25" t="n"/>
      <c r="F12" s="25">
        <f>C12+D12+E12</f>
        <v/>
      </c>
    </row>
    <row r="13">
      <c r="A13" s="10" t="inlineStr">
        <is>
          <t>Octobre</t>
        </is>
      </c>
      <c r="B13" s="10" t="n">
        <v>2025</v>
      </c>
      <c r="C13" s="11" t="n"/>
      <c r="D13" s="11" t="n"/>
      <c r="E13" s="11" t="n"/>
      <c r="F13" s="11">
        <f>C13+D13+E13</f>
        <v/>
      </c>
    </row>
    <row r="14">
      <c r="A14" s="24" t="inlineStr">
        <is>
          <t>Novembre</t>
        </is>
      </c>
      <c r="B14" s="24" t="n">
        <v>2025</v>
      </c>
      <c r="C14" s="25" t="n"/>
      <c r="D14" s="25" t="n"/>
      <c r="E14" s="25" t="n"/>
      <c r="F14" s="25">
        <f>C14+D14+E14</f>
        <v/>
      </c>
    </row>
    <row r="15">
      <c r="A15" s="10" t="inlineStr">
        <is>
          <t>Décembre</t>
        </is>
      </c>
      <c r="B15" s="10" t="n">
        <v>2025</v>
      </c>
      <c r="C15" s="11" t="n"/>
      <c r="D15" s="11" t="n"/>
      <c r="E15" s="11" t="n"/>
      <c r="F15" s="11">
        <f>C15+D15+E15</f>
        <v/>
      </c>
    </row>
    <row r="16">
      <c r="A16" s="26" t="inlineStr">
        <is>
          <t>TOTAL ANNUEL</t>
        </is>
      </c>
      <c r="C16" s="27">
        <f>SUM(C4:C15)</f>
        <v/>
      </c>
      <c r="D16" s="27">
        <f>SUM(D4:D15)</f>
        <v/>
      </c>
      <c r="E16" s="27">
        <f>SUM(E4:E15)</f>
        <v/>
      </c>
      <c r="F16" s="27">
        <f>SUM(F4:F15)</f>
        <v/>
      </c>
    </row>
    <row r="17">
      <c r="A17" s="26" t="inlineStr">
        <is>
          <t>MOYENNE MENSUELLE</t>
        </is>
      </c>
      <c r="C17" s="28">
        <f>AVERAGE(C4:C15)</f>
        <v/>
      </c>
      <c r="D17" s="28">
        <f>AVERAGE(D4:D15)</f>
        <v/>
      </c>
      <c r="E17" s="28">
        <f>AVERAGE(E4:E15)</f>
        <v/>
      </c>
      <c r="F17" s="28">
        <f>AVERAGE(F4:F15)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3e3e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  <col width="12" customWidth="1" min="5" max="5"/>
    <col width="20" customWidth="1" min="6" max="6"/>
  </cols>
  <sheetData>
    <row r="1">
      <c r="A1" s="23" t="inlineStr">
        <is>
          <t>DÉPENSES FIXES MENSUELLES</t>
        </is>
      </c>
    </row>
    <row r="3">
      <c r="A3" s="9" t="inlineStr">
        <is>
          <t>Catégorie</t>
        </is>
      </c>
      <c r="B3" s="9" t="inlineStr">
        <is>
          <t>Montant Prévu</t>
        </is>
      </c>
      <c r="C3" s="9" t="inlineStr">
        <is>
          <t>Montant Réel</t>
        </is>
      </c>
      <c r="D3" s="9" t="inlineStr">
        <is>
          <t>Statut</t>
        </is>
      </c>
      <c r="E3" s="9" t="inlineStr">
        <is>
          <t>Écart</t>
        </is>
      </c>
    </row>
    <row r="4">
      <c r="A4" s="24" t="inlineStr">
        <is>
          <t>Loyer</t>
        </is>
      </c>
      <c r="B4" s="25" t="n">
        <v>2250</v>
      </c>
      <c r="C4" s="25" t="n">
        <v>2250</v>
      </c>
      <c r="D4" s="24" t="inlineStr">
        <is>
          <t>Payé</t>
        </is>
      </c>
      <c r="E4" s="25">
        <f>C4-B4</f>
        <v/>
      </c>
    </row>
    <row r="5">
      <c r="A5" s="10" t="inlineStr">
        <is>
          <t>Électricité</t>
        </is>
      </c>
      <c r="B5" s="11" t="n">
        <v>200</v>
      </c>
      <c r="C5" s="11" t="n">
        <v>200</v>
      </c>
      <c r="D5" s="10" t="inlineStr">
        <is>
          <t>Payé</t>
        </is>
      </c>
      <c r="E5" s="11">
        <f>C5-B5</f>
        <v/>
      </c>
    </row>
    <row r="6">
      <c r="A6" s="24" t="inlineStr">
        <is>
          <t>Eau</t>
        </is>
      </c>
      <c r="B6" s="25" t="n">
        <v>250</v>
      </c>
      <c r="C6" s="25" t="n">
        <v>250</v>
      </c>
      <c r="D6" s="24" t="inlineStr">
        <is>
          <t>Payé</t>
        </is>
      </c>
      <c r="E6" s="25">
        <f>C6-B6</f>
        <v/>
      </c>
    </row>
    <row r="7">
      <c r="A7" s="10" t="inlineStr">
        <is>
          <t>Internet</t>
        </is>
      </c>
      <c r="B7" s="11" t="n">
        <v>45</v>
      </c>
      <c r="C7" s="11" t="n">
        <v>45</v>
      </c>
      <c r="D7" s="10" t="inlineStr">
        <is>
          <t>Payé</t>
        </is>
      </c>
      <c r="E7" s="11">
        <f>C7-B7</f>
        <v/>
      </c>
    </row>
    <row r="8">
      <c r="A8" s="24" t="inlineStr">
        <is>
          <t>Téléphone</t>
        </is>
      </c>
      <c r="B8" s="25" t="n">
        <v>30</v>
      </c>
      <c r="C8" s="25" t="n">
        <v>30</v>
      </c>
      <c r="D8" s="24" t="inlineStr">
        <is>
          <t>Payé</t>
        </is>
      </c>
      <c r="E8" s="25">
        <f>C8-B8</f>
        <v/>
      </c>
    </row>
    <row r="9">
      <c r="A9" s="10" t="inlineStr">
        <is>
          <t>Autre</t>
        </is>
      </c>
      <c r="B9" s="11" t="n">
        <v>20</v>
      </c>
      <c r="C9" s="11" t="n">
        <v>20</v>
      </c>
      <c r="D9" s="10" t="inlineStr">
        <is>
          <t>Payé</t>
        </is>
      </c>
      <c r="E9" s="11">
        <f>C9-B9</f>
        <v/>
      </c>
    </row>
    <row r="10">
      <c r="A10" s="13" t="inlineStr">
        <is>
          <t>TOTAL</t>
        </is>
      </c>
      <c r="B10" s="14">
        <f>SUM(B4:B9)</f>
        <v/>
      </c>
      <c r="C10" s="14">
        <f>SUM(C4:C9)</f>
        <v/>
      </c>
      <c r="D10" s="13" t="n"/>
      <c r="E10" s="14">
        <f>SUM(E4:E9)</f>
        <v/>
      </c>
    </row>
    <row r="12">
      <c r="A12" s="3" t="inlineStr">
        <is>
          <t>HISTORIQUE MENSUEL</t>
        </is>
      </c>
    </row>
    <row r="13">
      <c r="A13" s="9" t="inlineStr">
        <is>
          <t>Mois</t>
        </is>
      </c>
      <c r="B13" s="9" t="inlineStr">
        <is>
          <t>Total Dépenses</t>
        </is>
      </c>
      <c r="C13" s="9" t="inlineStr">
        <is>
          <t>Budget</t>
        </is>
      </c>
      <c r="D13" s="9" t="inlineStr">
        <is>
          <t>Écart</t>
        </is>
      </c>
      <c r="E13" s="9" t="inlineStr">
        <is>
          <t>% du Salaire</t>
        </is>
      </c>
      <c r="F13" s="9" t="inlineStr">
        <is>
          <t>Commentaires</t>
        </is>
      </c>
    </row>
    <row r="14">
      <c r="A14" s="10" t="inlineStr">
        <is>
          <t>Janvier 2025</t>
        </is>
      </c>
      <c r="B14" s="11" t="n">
        <v>2795</v>
      </c>
      <c r="C14" s="11" t="n">
        <v>2795</v>
      </c>
      <c r="D14" s="11">
        <f>B14-C14</f>
        <v/>
      </c>
      <c r="E14" s="12">
        <f>B14/14000</f>
        <v/>
      </c>
      <c r="F14" s="10" t="inlineStr"/>
    </row>
    <row r="15">
      <c r="A15" s="10" t="inlineStr">
        <is>
          <t>Février 2025</t>
        </is>
      </c>
      <c r="B15" s="11" t="n">
        <v>2795</v>
      </c>
      <c r="C15" s="11" t="n">
        <v>2795</v>
      </c>
      <c r="D15" s="11">
        <f>B15-C15</f>
        <v/>
      </c>
      <c r="E15" s="12">
        <f>B15/14000</f>
        <v/>
      </c>
      <c r="F15" s="10" t="inlineStr"/>
    </row>
    <row r="16">
      <c r="A16" s="10" t="inlineStr">
        <is>
          <t>Mars 2025</t>
        </is>
      </c>
      <c r="B16" s="11" t="n">
        <v>2795</v>
      </c>
      <c r="C16" s="11" t="n">
        <v>2795</v>
      </c>
      <c r="D16" s="11">
        <f>B16-C16</f>
        <v/>
      </c>
      <c r="E16" s="12">
        <f>B16/14000</f>
        <v/>
      </c>
      <c r="F16" s="10" t="inlineStr"/>
    </row>
  </sheetData>
  <mergeCells count="2">
    <mergeCell ref="A1:E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a5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3" t="inlineStr">
        <is>
          <t>DÉPENSES VARIABLES</t>
        </is>
      </c>
    </row>
    <row r="2">
      <c r="A2" s="29" t="inlineStr">
        <is>
          <t>Budget disponible: ~6 205 MAD/mois (Reste à vivre)</t>
        </is>
      </c>
    </row>
    <row r="4">
      <c r="A4" s="9" t="inlineStr">
        <is>
          <t>Catégorie</t>
        </is>
      </c>
      <c r="B4" s="9" t="inlineStr">
        <is>
          <t>Budget Prévu</t>
        </is>
      </c>
      <c r="C4" s="9" t="inlineStr">
        <is>
          <t>Dépensé</t>
        </is>
      </c>
      <c r="D4" s="9" t="inlineStr">
        <is>
          <t>Écart</t>
        </is>
      </c>
      <c r="E4" s="9" t="inlineStr">
        <is>
          <t>% Budget</t>
        </is>
      </c>
      <c r="F4" s="9" t="inlineStr">
        <is>
          <t>Statut</t>
        </is>
      </c>
    </row>
    <row r="5">
      <c r="A5" s="10" t="inlineStr">
        <is>
          <t>Alimentation</t>
        </is>
      </c>
      <c r="B5" s="11" t="n">
        <v>2500</v>
      </c>
      <c r="C5" s="11" t="n">
        <v>0</v>
      </c>
      <c r="D5" s="11">
        <f>B5-C5</f>
        <v/>
      </c>
      <c r="E5" s="12">
        <f>C5/B5</f>
        <v/>
      </c>
      <c r="F5" s="10">
        <f>IF(E5&gt;1,"⚠️ Dépassement","✓ OK")</f>
        <v/>
      </c>
    </row>
    <row r="6">
      <c r="A6" s="24" t="inlineStr">
        <is>
          <t>Transport</t>
        </is>
      </c>
      <c r="B6" s="25" t="n">
        <v>800</v>
      </c>
      <c r="C6" s="25" t="n">
        <v>0</v>
      </c>
      <c r="D6" s="25">
        <f>B6-C6</f>
        <v/>
      </c>
      <c r="E6" s="30">
        <f>C6/B6</f>
        <v/>
      </c>
      <c r="F6" s="24">
        <f>IF(E6&gt;1,"⚠️ Dépassement","✓ OK")</f>
        <v/>
      </c>
    </row>
    <row r="7">
      <c r="A7" s="10" t="inlineStr">
        <is>
          <t>Loisirs</t>
        </is>
      </c>
      <c r="B7" s="11" t="n">
        <v>600</v>
      </c>
      <c r="C7" s="11" t="n">
        <v>0</v>
      </c>
      <c r="D7" s="11">
        <f>B7-C7</f>
        <v/>
      </c>
      <c r="E7" s="12">
        <f>C7/B7</f>
        <v/>
      </c>
      <c r="F7" s="10">
        <f>IF(E7&gt;1,"⚠️ Dépassement","✓ OK")</f>
        <v/>
      </c>
    </row>
    <row r="8">
      <c r="A8" s="24" t="inlineStr">
        <is>
          <t>Santé</t>
        </is>
      </c>
      <c r="B8" s="25" t="n">
        <v>300</v>
      </c>
      <c r="C8" s="25" t="n">
        <v>0</v>
      </c>
      <c r="D8" s="25">
        <f>B8-C8</f>
        <v/>
      </c>
      <c r="E8" s="30">
        <f>C8/B8</f>
        <v/>
      </c>
      <c r="F8" s="24">
        <f>IF(E8&gt;1,"⚠️ Dépassement","✓ OK")</f>
        <v/>
      </c>
    </row>
    <row r="9">
      <c r="A9" s="10" t="inlineStr">
        <is>
          <t>Vêtements</t>
        </is>
      </c>
      <c r="B9" s="11" t="n">
        <v>200</v>
      </c>
      <c r="C9" s="11" t="n">
        <v>0</v>
      </c>
      <c r="D9" s="11">
        <f>B9-C9</f>
        <v/>
      </c>
      <c r="E9" s="12">
        <f>C9/B9</f>
        <v/>
      </c>
      <c r="F9" s="10">
        <f>IF(E9&gt;1,"⚠️ Dépassement","✓ OK")</f>
        <v/>
      </c>
    </row>
    <row r="10">
      <c r="A10" s="24" t="inlineStr">
        <is>
          <t>Imprévus</t>
        </is>
      </c>
      <c r="B10" s="25" t="n">
        <v>500</v>
      </c>
      <c r="C10" s="25" t="n">
        <v>0</v>
      </c>
      <c r="D10" s="25">
        <f>B10-C10</f>
        <v/>
      </c>
      <c r="E10" s="30">
        <f>C10/B10</f>
        <v/>
      </c>
      <c r="F10" s="24">
        <f>IF(E10&gt;1,"⚠️ Dépassement","✓ OK")</f>
        <v/>
      </c>
    </row>
    <row r="11">
      <c r="A11" s="10" t="inlineStr">
        <is>
          <t>Autres</t>
        </is>
      </c>
      <c r="B11" s="11" t="n">
        <v>1305</v>
      </c>
      <c r="C11" s="11" t="n">
        <v>0</v>
      </c>
      <c r="D11" s="11">
        <f>B11-C11</f>
        <v/>
      </c>
      <c r="E11" s="12">
        <f>C11/B11</f>
        <v/>
      </c>
      <c r="F11" s="10">
        <f>IF(E11&gt;1,"⚠️ Dépassement","✓ OK")</f>
        <v/>
      </c>
    </row>
    <row r="12">
      <c r="A12" s="13" t="inlineStr">
        <is>
          <t>TOTAL</t>
        </is>
      </c>
      <c r="B12" s="14">
        <f>SUM(B5:B11)</f>
        <v/>
      </c>
      <c r="C12" s="14">
        <f>SUM(C5:C11)</f>
        <v/>
      </c>
      <c r="D12" s="14">
        <f>SUM(D5:D11)</f>
        <v/>
      </c>
      <c r="E12" s="15" t="n"/>
    </row>
    <row r="15">
      <c r="A15" s="3" t="inlineStr">
        <is>
          <t>DÉTAILS DES DÉPENSES DU MOIS</t>
        </is>
      </c>
    </row>
    <row r="16">
      <c r="A16" s="9" t="inlineStr">
        <is>
          <t>Date</t>
        </is>
      </c>
      <c r="B16" s="9" t="inlineStr">
        <is>
          <t>Catégorie</t>
        </is>
      </c>
      <c r="C16" s="9" t="inlineStr">
        <is>
          <t>Description</t>
        </is>
      </c>
      <c r="D16" s="9" t="inlineStr">
        <is>
          <t>Montant</t>
        </is>
      </c>
      <c r="E16" s="9" t="inlineStr">
        <is>
          <t>Mode de paiement</t>
        </is>
      </c>
    </row>
  </sheetData>
  <mergeCells count="3">
    <mergeCell ref="A2:F2"/>
    <mergeCell ref="A15:E1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8a169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20" customWidth="1" min="6" max="6"/>
  </cols>
  <sheetData>
    <row r="1">
      <c r="A1" s="23" t="inlineStr">
        <is>
          <t>SUIVI DE L'ÉPARGNE</t>
        </is>
      </c>
    </row>
    <row r="3">
      <c r="A3" s="31" t="inlineStr">
        <is>
          <t>💰 ÉPARGNE PERSONNELLE</t>
        </is>
      </c>
    </row>
    <row r="4">
      <c r="A4" s="29" t="inlineStr">
        <is>
          <t>Objectif: Fonds d'urgence de 6 mois = 84,000 MAD</t>
        </is>
      </c>
    </row>
    <row r="5">
      <c r="A5" s="9" t="inlineStr">
        <is>
          <t>Mois</t>
        </is>
      </c>
      <c r="B5" s="9" t="inlineStr">
        <is>
          <t>Versement</t>
        </is>
      </c>
      <c r="C5" s="9" t="inlineStr">
        <is>
          <t>Retraits</t>
        </is>
      </c>
      <c r="D5" s="9" t="inlineStr">
        <is>
          <t>Net</t>
        </is>
      </c>
      <c r="E5" s="9" t="inlineStr">
        <is>
          <t>Solde Cumulé</t>
        </is>
      </c>
      <c r="F5" s="9" t="inlineStr">
        <is>
          <t>Progression Objectif</t>
        </is>
      </c>
    </row>
    <row r="6">
      <c r="A6" s="24" t="inlineStr">
        <is>
          <t>Janvier 2025</t>
        </is>
      </c>
      <c r="B6" s="25" t="n">
        <v>2000</v>
      </c>
      <c r="C6" s="25" t="n">
        <v>0</v>
      </c>
      <c r="D6" s="25">
        <f>B6-C6</f>
        <v/>
      </c>
      <c r="E6" s="25" t="n">
        <v>2000</v>
      </c>
      <c r="F6" s="30">
        <f>E6/84000</f>
        <v/>
      </c>
    </row>
    <row r="7">
      <c r="A7" s="10" t="inlineStr">
        <is>
          <t>Février 2025</t>
        </is>
      </c>
      <c r="B7" s="11" t="n">
        <v>2000</v>
      </c>
      <c r="C7" s="11" t="n">
        <v>0</v>
      </c>
      <c r="D7" s="11">
        <f>B7-C7</f>
        <v/>
      </c>
      <c r="E7" s="11" t="n">
        <v>4000</v>
      </c>
      <c r="F7" s="12">
        <f>E7/84000</f>
        <v/>
      </c>
    </row>
    <row r="8">
      <c r="A8" s="24" t="inlineStr">
        <is>
          <t>Mars 2025</t>
        </is>
      </c>
      <c r="B8" s="25" t="n">
        <v>2000</v>
      </c>
      <c r="C8" s="25" t="n">
        <v>0</v>
      </c>
      <c r="D8" s="25">
        <f>B8-C8</f>
        <v/>
      </c>
      <c r="E8" s="25" t="n">
        <v>6000</v>
      </c>
      <c r="F8" s="30">
        <f>E8/84000</f>
        <v/>
      </c>
    </row>
    <row r="9">
      <c r="A9" s="10" t="inlineStr">
        <is>
          <t>Mois 4</t>
        </is>
      </c>
      <c r="B9" s="11" t="n">
        <v>2000</v>
      </c>
      <c r="C9" s="11" t="n">
        <v>0</v>
      </c>
      <c r="D9" s="11">
        <f>B9-C9</f>
        <v/>
      </c>
      <c r="E9" s="11">
        <f>E8+D9</f>
        <v/>
      </c>
      <c r="F9" s="12">
        <f>E9/84000</f>
        <v/>
      </c>
    </row>
    <row r="10">
      <c r="A10" s="10" t="inlineStr">
        <is>
          <t>Mois 5</t>
        </is>
      </c>
      <c r="B10" s="11" t="n">
        <v>2000</v>
      </c>
      <c r="C10" s="11" t="n">
        <v>0</v>
      </c>
      <c r="D10" s="11">
        <f>B10-C10</f>
        <v/>
      </c>
      <c r="E10" s="11">
        <f>E9+D10</f>
        <v/>
      </c>
      <c r="F10" s="12">
        <f>E10/84000</f>
        <v/>
      </c>
    </row>
    <row r="11">
      <c r="A11" s="10" t="inlineStr">
        <is>
          <t>Mois 6</t>
        </is>
      </c>
      <c r="B11" s="11" t="n">
        <v>2000</v>
      </c>
      <c r="C11" s="11" t="n">
        <v>0</v>
      </c>
      <c r="D11" s="11">
        <f>B11-C11</f>
        <v/>
      </c>
      <c r="E11" s="11">
        <f>E10+D11</f>
        <v/>
      </c>
      <c r="F11" s="12">
        <f>E11/84000</f>
        <v/>
      </c>
    </row>
    <row r="12">
      <c r="A12" s="10" t="inlineStr">
        <is>
          <t>Mois 7</t>
        </is>
      </c>
      <c r="B12" s="11" t="n">
        <v>2000</v>
      </c>
      <c r="C12" s="11" t="n">
        <v>0</v>
      </c>
      <c r="D12" s="11">
        <f>B12-C12</f>
        <v/>
      </c>
      <c r="E12" s="11">
        <f>E11+D12</f>
        <v/>
      </c>
      <c r="F12" s="12">
        <f>E12/84000</f>
        <v/>
      </c>
    </row>
    <row r="13">
      <c r="A13" s="10" t="inlineStr">
        <is>
          <t>Mois 8</t>
        </is>
      </c>
      <c r="B13" s="11" t="n">
        <v>2000</v>
      </c>
      <c r="C13" s="11" t="n">
        <v>0</v>
      </c>
      <c r="D13" s="11">
        <f>B13-C13</f>
        <v/>
      </c>
      <c r="E13" s="11">
        <f>E12+D13</f>
        <v/>
      </c>
      <c r="F13" s="12">
        <f>E13/84000</f>
        <v/>
      </c>
    </row>
    <row r="14">
      <c r="A14" s="10" t="inlineStr">
        <is>
          <t>Mois 9</t>
        </is>
      </c>
      <c r="B14" s="11" t="n">
        <v>2000</v>
      </c>
      <c r="C14" s="11" t="n">
        <v>0</v>
      </c>
      <c r="D14" s="11">
        <f>B14-C14</f>
        <v/>
      </c>
      <c r="E14" s="11">
        <f>E13+D14</f>
        <v/>
      </c>
      <c r="F14" s="12">
        <f>E14/84000</f>
        <v/>
      </c>
    </row>
    <row r="15">
      <c r="A15" s="10" t="inlineStr">
        <is>
          <t>Mois 10</t>
        </is>
      </c>
      <c r="B15" s="11" t="n">
        <v>2000</v>
      </c>
      <c r="C15" s="11" t="n">
        <v>0</v>
      </c>
      <c r="D15" s="11">
        <f>B15-C15</f>
        <v/>
      </c>
      <c r="E15" s="11">
        <f>E14+D15</f>
        <v/>
      </c>
      <c r="F15" s="12">
        <f>E15/84000</f>
        <v/>
      </c>
    </row>
    <row r="16">
      <c r="A16" s="10" t="inlineStr">
        <is>
          <t>Mois 11</t>
        </is>
      </c>
      <c r="B16" s="11" t="n">
        <v>2000</v>
      </c>
      <c r="C16" s="11" t="n">
        <v>0</v>
      </c>
      <c r="D16" s="11">
        <f>B16-C16</f>
        <v/>
      </c>
      <c r="E16" s="11">
        <f>E15+D16</f>
        <v/>
      </c>
      <c r="F16" s="12">
        <f>E16/84000</f>
        <v/>
      </c>
    </row>
    <row r="17">
      <c r="A17" s="10" t="inlineStr">
        <is>
          <t>Mois 12</t>
        </is>
      </c>
      <c r="B17" s="11" t="n">
        <v>2000</v>
      </c>
      <c r="C17" s="11" t="n">
        <v>0</v>
      </c>
      <c r="D17" s="11">
        <f>B17-C17</f>
        <v/>
      </c>
      <c r="E17" s="11">
        <f>E16+D17</f>
        <v/>
      </c>
      <c r="F17" s="12">
        <f>E17/84000</f>
        <v/>
      </c>
    </row>
    <row r="20">
      <c r="A20" s="31" t="inlineStr">
        <is>
          <t>👨‍👩‍👧‍👦 ÉPARGNE FAMILLE / PARENTS</t>
        </is>
      </c>
    </row>
    <row r="21">
      <c r="A21" s="9" t="inlineStr">
        <is>
          <t>Mois</t>
        </is>
      </c>
      <c r="B21" s="9" t="inlineStr">
        <is>
          <t>Versement</t>
        </is>
      </c>
      <c r="C21" s="9" t="inlineStr">
        <is>
          <t>Total Versé</t>
        </is>
      </c>
      <c r="D21" s="9" t="inlineStr">
        <is>
          <t>Notes</t>
        </is>
      </c>
      <c r="E21" s="9" t="inlineStr">
        <is>
          <t>Statut</t>
        </is>
      </c>
    </row>
    <row r="22">
      <c r="A22" s="24" t="inlineStr">
        <is>
          <t>Janvier 2025</t>
        </is>
      </c>
      <c r="B22" s="25" t="n">
        <v>2000</v>
      </c>
      <c r="C22" s="25" t="n">
        <v>2000</v>
      </c>
      <c r="D22" s="24" t="inlineStr"/>
      <c r="E22" s="24" t="inlineStr">
        <is>
          <t>Versé</t>
        </is>
      </c>
    </row>
    <row r="23">
      <c r="A23" s="10" t="inlineStr">
        <is>
          <t>Février 2025</t>
        </is>
      </c>
      <c r="B23" s="11" t="n">
        <v>2000</v>
      </c>
      <c r="C23" s="11" t="n">
        <v>4000</v>
      </c>
      <c r="D23" s="10" t="inlineStr"/>
      <c r="E23" s="10" t="inlineStr">
        <is>
          <t>Versé</t>
        </is>
      </c>
    </row>
    <row r="24">
      <c r="A24" s="24" t="inlineStr">
        <is>
          <t>Mars 2025</t>
        </is>
      </c>
      <c r="B24" s="25" t="n">
        <v>2000</v>
      </c>
      <c r="C24" s="25" t="n">
        <v>6000</v>
      </c>
      <c r="D24" s="24" t="inlineStr"/>
      <c r="E24" s="24" t="inlineStr">
        <is>
          <t>Versé</t>
        </is>
      </c>
    </row>
    <row r="25">
      <c r="A25" s="10" t="inlineStr">
        <is>
          <t>Mois 4</t>
        </is>
      </c>
      <c r="B25" s="11" t="n">
        <v>2000</v>
      </c>
      <c r="C25" s="11">
        <f>C24+B25</f>
        <v/>
      </c>
      <c r="D25" s="10" t="inlineStr"/>
      <c r="E25" s="10" t="inlineStr"/>
    </row>
    <row r="26">
      <c r="A26" s="10" t="inlineStr">
        <is>
          <t>Mois 5</t>
        </is>
      </c>
      <c r="B26" s="11" t="n">
        <v>2000</v>
      </c>
      <c r="C26" s="11">
        <f>C25+B26</f>
        <v/>
      </c>
      <c r="D26" s="10" t="inlineStr"/>
      <c r="E26" s="10" t="inlineStr"/>
    </row>
    <row r="27">
      <c r="A27" s="10" t="inlineStr">
        <is>
          <t>Mois 6</t>
        </is>
      </c>
      <c r="B27" s="11" t="n">
        <v>2000</v>
      </c>
      <c r="C27" s="11">
        <f>C26+B27</f>
        <v/>
      </c>
      <c r="D27" s="10" t="inlineStr"/>
      <c r="E27" s="10" t="inlineStr"/>
    </row>
    <row r="28">
      <c r="A28" s="10" t="inlineStr">
        <is>
          <t>Mois 7</t>
        </is>
      </c>
      <c r="B28" s="11" t="n">
        <v>2000</v>
      </c>
      <c r="C28" s="11">
        <f>C27+B28</f>
        <v/>
      </c>
      <c r="D28" s="10" t="inlineStr"/>
      <c r="E28" s="10" t="inlineStr"/>
    </row>
    <row r="29">
      <c r="A29" s="10" t="inlineStr">
        <is>
          <t>Mois 8</t>
        </is>
      </c>
      <c r="B29" s="11" t="n">
        <v>2000</v>
      </c>
      <c r="C29" s="11">
        <f>C28+B29</f>
        <v/>
      </c>
      <c r="D29" s="10" t="inlineStr"/>
      <c r="E29" s="10" t="inlineStr"/>
    </row>
    <row r="30">
      <c r="A30" s="10" t="inlineStr">
        <is>
          <t>Mois 9</t>
        </is>
      </c>
      <c r="B30" s="11" t="n">
        <v>2000</v>
      </c>
      <c r="C30" s="11">
        <f>C29+B30</f>
        <v/>
      </c>
      <c r="D30" s="10" t="inlineStr"/>
      <c r="E30" s="10" t="inlineStr"/>
    </row>
    <row r="31">
      <c r="A31" s="10" t="inlineStr">
        <is>
          <t>Mois 10</t>
        </is>
      </c>
      <c r="B31" s="11" t="n">
        <v>2000</v>
      </c>
      <c r="C31" s="11">
        <f>C30+B31</f>
        <v/>
      </c>
      <c r="D31" s="10" t="inlineStr"/>
      <c r="E31" s="10" t="inlineStr"/>
    </row>
    <row r="32">
      <c r="A32" s="10" t="inlineStr">
        <is>
          <t>Mois 11</t>
        </is>
      </c>
      <c r="B32" s="11" t="n">
        <v>2000</v>
      </c>
      <c r="C32" s="11">
        <f>C31+B32</f>
        <v/>
      </c>
      <c r="D32" s="10" t="inlineStr"/>
      <c r="E32" s="10" t="inlineStr"/>
    </row>
    <row r="33">
      <c r="A33" s="10" t="inlineStr">
        <is>
          <t>Mois 12</t>
        </is>
      </c>
      <c r="B33" s="11" t="n">
        <v>2000</v>
      </c>
      <c r="C33" s="11">
        <f>C32+B33</f>
        <v/>
      </c>
      <c r="D33" s="10" t="inlineStr"/>
      <c r="E33" s="10" t="inlineStr"/>
    </row>
    <row r="36">
      <c r="A36" s="3" t="inlineStr">
        <is>
          <t>📊 RÉSUMÉ ÉPARGNE TOTALE</t>
        </is>
      </c>
    </row>
    <row r="37">
      <c r="A37" s="16" t="inlineStr">
        <is>
          <t>Épargne mensuelle totale:</t>
        </is>
      </c>
      <c r="B37" s="32" t="n">
        <v>4000</v>
      </c>
    </row>
    <row r="38">
      <c r="A38" s="16" t="inlineStr">
        <is>
          <t>Taux d'épargne (% du salaire):</t>
        </is>
      </c>
      <c r="B38" s="33">
        <f>0.2857142857142857</f>
        <v/>
      </c>
    </row>
  </sheetData>
  <mergeCells count="5">
    <mergeCell ref="A20:E20"/>
    <mergeCell ref="A1:F1"/>
    <mergeCell ref="A4:F4"/>
    <mergeCell ref="A3:F3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299e1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15" customWidth="1" min="10" max="10"/>
  </cols>
  <sheetData>
    <row r="1">
      <c r="A1" s="23" t="inlineStr">
        <is>
          <t>📈 PORTEFEUILLE BOURSE</t>
        </is>
      </c>
    </row>
    <row r="3">
      <c r="A3" s="31" t="inlineStr">
        <is>
          <t>💵 VERSEMENTS MENSUELS</t>
        </is>
      </c>
    </row>
    <row r="4">
      <c r="A4" s="9" t="inlineStr">
        <is>
          <t>Mois</t>
        </is>
      </c>
      <c r="B4" s="9" t="inlineStr">
        <is>
          <t>Versement Prévu</t>
        </is>
      </c>
      <c r="C4" s="9" t="inlineStr">
        <is>
          <t>Versement Effectué</t>
        </is>
      </c>
      <c r="D4" s="9" t="inlineStr">
        <is>
          <t>Versement Extra</t>
        </is>
      </c>
      <c r="E4" s="9" t="inlineStr">
        <is>
          <t>TOTAL</t>
        </is>
      </c>
    </row>
    <row r="5">
      <c r="A5" s="10" t="inlineStr">
        <is>
          <t>Janvier 2025</t>
        </is>
      </c>
      <c r="B5" s="11" t="n">
        <v>1000</v>
      </c>
      <c r="C5" s="11" t="n">
        <v>1000</v>
      </c>
      <c r="D5" s="11" t="n">
        <v>0</v>
      </c>
      <c r="E5" s="11">
        <f>C5+D5</f>
        <v/>
      </c>
    </row>
    <row r="6">
      <c r="A6" s="24" t="inlineStr">
        <is>
          <t>Février 2025</t>
        </is>
      </c>
      <c r="B6" s="25" t="n">
        <v>1000</v>
      </c>
      <c r="C6" s="25" t="n">
        <v>1000</v>
      </c>
      <c r="D6" s="25" t="n">
        <v>0</v>
      </c>
      <c r="E6" s="25">
        <f>C6+D6</f>
        <v/>
      </c>
    </row>
    <row r="7">
      <c r="A7" s="10" t="inlineStr">
        <is>
          <t>Mars 2025</t>
        </is>
      </c>
      <c r="B7" s="11" t="n">
        <v>1000</v>
      </c>
      <c r="C7" s="11" t="n">
        <v>1000</v>
      </c>
      <c r="D7" s="11" t="n">
        <v>0</v>
      </c>
      <c r="E7" s="11">
        <f>C7+D7</f>
        <v/>
      </c>
    </row>
    <row r="8">
      <c r="A8" s="13" t="inlineStr">
        <is>
          <t>TOTAL INVESTI</t>
        </is>
      </c>
      <c r="B8" s="14">
        <f>SUM(B5:B7)</f>
        <v/>
      </c>
      <c r="C8" s="14">
        <f>SUM(C5:C7)</f>
        <v/>
      </c>
      <c r="D8" s="14">
        <f>SUM(D5:D7)</f>
        <v/>
      </c>
      <c r="E8" s="14">
        <f>SUM(E5:E7)</f>
        <v/>
      </c>
    </row>
    <row r="11">
      <c r="A11" s="3" t="inlineStr">
        <is>
          <t>📊 PORTEFEUILLE D'ACTIONS/ETF</t>
        </is>
      </c>
    </row>
    <row r="12">
      <c r="A12" s="9" t="inlineStr">
        <is>
          <t>Date Achat</t>
        </is>
      </c>
      <c r="B12" s="9" t="inlineStr">
        <is>
          <t>Ticker/Nom</t>
        </is>
      </c>
      <c r="C12" s="9" t="inlineStr">
        <is>
          <t>Secteur</t>
        </is>
      </c>
      <c r="D12" s="9" t="inlineStr">
        <is>
          <t>Quantité</t>
        </is>
      </c>
      <c r="E12" s="9" t="inlineStr">
        <is>
          <t>Prix Achat</t>
        </is>
      </c>
      <c r="F12" s="9" t="inlineStr">
        <is>
          <t>Valeur Achat</t>
        </is>
      </c>
      <c r="G12" s="9" t="inlineStr">
        <is>
          <t>Prix Actuel</t>
        </is>
      </c>
      <c r="H12" s="9" t="inlineStr">
        <is>
          <t>Valeur Actuelle</t>
        </is>
      </c>
      <c r="I12" s="9" t="inlineStr">
        <is>
          <t>+/- Value</t>
        </is>
      </c>
      <c r="J12" s="9" t="inlineStr">
        <is>
          <t>% Gain/Perte</t>
        </is>
      </c>
    </row>
    <row r="13">
      <c r="A13" s="10" t="inlineStr">
        <is>
          <t>15/01/2025</t>
        </is>
      </c>
      <c r="B13" s="10" t="inlineStr">
        <is>
          <t>EXEMPLE ETF</t>
        </is>
      </c>
      <c r="C13" s="10" t="inlineStr">
        <is>
          <t>Indices</t>
        </is>
      </c>
      <c r="D13" s="34" t="n">
        <v>10</v>
      </c>
      <c r="E13" s="11" t="n">
        <v>100</v>
      </c>
      <c r="F13" s="11">
        <f>D13*E13</f>
        <v/>
      </c>
      <c r="G13" s="11" t="n">
        <v>105</v>
      </c>
      <c r="H13" s="11">
        <f>D13*G13</f>
        <v/>
      </c>
      <c r="I13" s="11">
        <f>H13-F13</f>
        <v/>
      </c>
      <c r="J13" s="35">
        <f>I13/F13</f>
        <v/>
      </c>
    </row>
    <row r="14">
      <c r="A14" s="10" t="inlineStr">
        <is>
          <t>20/01/2025</t>
        </is>
      </c>
      <c r="B14" s="10" t="inlineStr">
        <is>
          <t>EXEMPLE ACTION</t>
        </is>
      </c>
      <c r="C14" s="10" t="inlineStr">
        <is>
          <t>Tech</t>
        </is>
      </c>
      <c r="D14" s="34" t="n">
        <v>5</v>
      </c>
      <c r="E14" s="11" t="n">
        <v>200</v>
      </c>
      <c r="F14" s="11">
        <f>D14*E14</f>
        <v/>
      </c>
      <c r="G14" s="11" t="n">
        <v>210</v>
      </c>
      <c r="H14" s="11">
        <f>D14*G14</f>
        <v/>
      </c>
      <c r="I14" s="11">
        <f>H14-F14</f>
        <v/>
      </c>
      <c r="J14" s="35">
        <f>I14/F14</f>
        <v/>
      </c>
    </row>
    <row r="15">
      <c r="A15" s="36" t="inlineStr">
        <is>
          <t>TOTAL PORTEFEUILLE</t>
        </is>
      </c>
      <c r="B15" s="36" t="n"/>
      <c r="C15" s="36" t="n"/>
      <c r="D15" s="37" t="n"/>
      <c r="E15" s="28" t="n"/>
      <c r="F15" s="28">
        <f>SUM(F13:F14)</f>
        <v/>
      </c>
      <c r="G15" s="28" t="n"/>
      <c r="H15" s="28">
        <f>SUM(H13:H14)</f>
        <v/>
      </c>
      <c r="I15" s="28">
        <f>SUM(I13:I14)</f>
        <v/>
      </c>
      <c r="J15" s="38">
        <f>I15/F15</f>
        <v/>
      </c>
    </row>
    <row r="18">
      <c r="A18" s="3" t="inlineStr">
        <is>
          <t>📈 PERFORMANCE DU PORTEFEUILLE</t>
        </is>
      </c>
    </row>
    <row r="19">
      <c r="A19" s="16" t="inlineStr">
        <is>
          <t>Valeur totale investie:</t>
        </is>
      </c>
      <c r="B19" s="39">
        <f>F15</f>
        <v/>
      </c>
      <c r="D19" s="21" t="inlineStr">
        <is>
          <t>💰 DIVIDENDES REÇUS</t>
        </is>
      </c>
    </row>
    <row r="20">
      <c r="A20" s="16" t="inlineStr">
        <is>
          <t>Valeur actuelle:</t>
        </is>
      </c>
      <c r="B20" s="39">
        <f>H15</f>
        <v/>
      </c>
      <c r="D20" s="9" t="inlineStr">
        <is>
          <t>Date</t>
        </is>
      </c>
      <c r="E20" s="9" t="inlineStr">
        <is>
          <t>Ticker</t>
        </is>
      </c>
      <c r="F20" s="9" t="inlineStr">
        <is>
          <t>Montant</t>
        </is>
      </c>
    </row>
    <row r="21">
      <c r="A21" s="16" t="inlineStr">
        <is>
          <t>Gain/Perte total:</t>
        </is>
      </c>
      <c r="B21" s="39">
        <f>I15</f>
        <v/>
      </c>
    </row>
    <row r="22">
      <c r="A22" s="16" t="inlineStr">
        <is>
          <t>Performance (%):</t>
        </is>
      </c>
      <c r="B22" s="40">
        <f>J15</f>
        <v/>
      </c>
    </row>
  </sheetData>
  <mergeCells count="5">
    <mergeCell ref="A18:D18"/>
    <mergeCell ref="D19:F19"/>
    <mergeCell ref="A11:I11"/>
    <mergeCell ref="A1:H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59b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>
      <c r="A1" s="23" t="inlineStr">
        <is>
          <t>💎 PATRIMOINE GLOBAL</t>
        </is>
      </c>
    </row>
    <row r="3">
      <c r="A3" s="9" t="inlineStr">
        <is>
          <t>Mois</t>
        </is>
      </c>
      <c r="B3" s="9" t="inlineStr">
        <is>
          <t>Épargne Personnelle</t>
        </is>
      </c>
      <c r="C3" s="9" t="inlineStr">
        <is>
          <t>Épargne Famille</t>
        </is>
      </c>
      <c r="D3" s="9" t="inlineStr">
        <is>
          <t>Portefeuille Bourse</t>
        </is>
      </c>
      <c r="E3" s="9" t="inlineStr">
        <is>
          <t>TOTAL PATRIMOINE</t>
        </is>
      </c>
      <c r="F3" s="9" t="inlineStr">
        <is>
          <t>Variation</t>
        </is>
      </c>
    </row>
    <row r="4">
      <c r="A4" s="24" t="inlineStr">
        <is>
          <t>Janvier 2025</t>
        </is>
      </c>
      <c r="B4" s="25">
        <f>Épargne!E6</f>
        <v/>
      </c>
      <c r="C4" s="25">
        <f>Épargne!C22</f>
        <v/>
      </c>
      <c r="D4" s="25">
        <f>'Investissements Bourse'!H15</f>
        <v/>
      </c>
      <c r="E4" s="25">
        <f>B4+C4+D4</f>
        <v/>
      </c>
      <c r="F4" s="25" t="n">
        <v>0</v>
      </c>
    </row>
    <row r="5">
      <c r="A5" s="10" t="inlineStr">
        <is>
          <t>Février 2025</t>
        </is>
      </c>
      <c r="B5" s="11">
        <f>Épargne!E7</f>
        <v/>
      </c>
      <c r="C5" s="11">
        <f>Épargne!C23</f>
        <v/>
      </c>
      <c r="D5" s="11">
        <f>'Investissements Bourse'!H15</f>
        <v/>
      </c>
      <c r="E5" s="11">
        <f>B5+C5+D5</f>
        <v/>
      </c>
      <c r="F5" s="11">
        <f>E5-E4</f>
        <v/>
      </c>
    </row>
    <row r="6">
      <c r="A6" s="24" t="inlineStr">
        <is>
          <t>Mars 2025</t>
        </is>
      </c>
      <c r="B6" s="25">
        <f>Épargne!E8</f>
        <v/>
      </c>
      <c r="C6" s="25">
        <f>Épargne!C24</f>
        <v/>
      </c>
      <c r="D6" s="25">
        <f>'Investissements Bourse'!H15</f>
        <v/>
      </c>
      <c r="E6" s="25">
        <f>B6+C6+D6</f>
        <v/>
      </c>
      <c r="F6" s="25">
        <f>E6-E5</f>
        <v/>
      </c>
    </row>
    <row r="7">
      <c r="A7" s="10" t="inlineStr">
        <is>
          <t>Mois 4</t>
        </is>
      </c>
      <c r="B7" s="11" t="n">
        <v>0</v>
      </c>
      <c r="C7" s="11" t="n">
        <v>0</v>
      </c>
      <c r="D7" s="11" t="n">
        <v>0</v>
      </c>
      <c r="E7" s="11">
        <f>B7+C7+D7</f>
        <v/>
      </c>
      <c r="F7" s="11">
        <f>E7-E6</f>
        <v/>
      </c>
    </row>
    <row r="8">
      <c r="A8" s="10" t="inlineStr">
        <is>
          <t>Mois 5</t>
        </is>
      </c>
      <c r="B8" s="11" t="n">
        <v>0</v>
      </c>
      <c r="C8" s="11" t="n">
        <v>0</v>
      </c>
      <c r="D8" s="11" t="n">
        <v>0</v>
      </c>
      <c r="E8" s="11">
        <f>B8+C8+D8</f>
        <v/>
      </c>
      <c r="F8" s="11">
        <f>E8-E7</f>
        <v/>
      </c>
    </row>
    <row r="9">
      <c r="A9" s="10" t="inlineStr">
        <is>
          <t>Mois 6</t>
        </is>
      </c>
      <c r="B9" s="11" t="n">
        <v>0</v>
      </c>
      <c r="C9" s="11" t="n">
        <v>0</v>
      </c>
      <c r="D9" s="11" t="n">
        <v>0</v>
      </c>
      <c r="E9" s="11">
        <f>B9+C9+D9</f>
        <v/>
      </c>
      <c r="F9" s="11">
        <f>E9-E8</f>
        <v/>
      </c>
    </row>
    <row r="10">
      <c r="A10" s="10" t="inlineStr">
        <is>
          <t>Mois 7</t>
        </is>
      </c>
      <c r="B10" s="11" t="n">
        <v>0</v>
      </c>
      <c r="C10" s="11" t="n">
        <v>0</v>
      </c>
      <c r="D10" s="11" t="n">
        <v>0</v>
      </c>
      <c r="E10" s="11">
        <f>B10+C10+D10</f>
        <v/>
      </c>
      <c r="F10" s="11">
        <f>E10-E9</f>
        <v/>
      </c>
    </row>
    <row r="11">
      <c r="A11" s="10" t="inlineStr">
        <is>
          <t>Mois 8</t>
        </is>
      </c>
      <c r="B11" s="11" t="n">
        <v>0</v>
      </c>
      <c r="C11" s="11" t="n">
        <v>0</v>
      </c>
      <c r="D11" s="11" t="n">
        <v>0</v>
      </c>
      <c r="E11" s="11">
        <f>B11+C11+D11</f>
        <v/>
      </c>
      <c r="F11" s="11">
        <f>E11-E10</f>
        <v/>
      </c>
    </row>
    <row r="12">
      <c r="A12" s="10" t="inlineStr">
        <is>
          <t>Mois 9</t>
        </is>
      </c>
      <c r="B12" s="11" t="n">
        <v>0</v>
      </c>
      <c r="C12" s="11" t="n">
        <v>0</v>
      </c>
      <c r="D12" s="11" t="n">
        <v>0</v>
      </c>
      <c r="E12" s="11">
        <f>B12+C12+D12</f>
        <v/>
      </c>
      <c r="F12" s="11">
        <f>E12-E11</f>
        <v/>
      </c>
    </row>
    <row r="13">
      <c r="A13" s="10" t="inlineStr">
        <is>
          <t>Mois 10</t>
        </is>
      </c>
      <c r="B13" s="11" t="n">
        <v>0</v>
      </c>
      <c r="C13" s="11" t="n">
        <v>0</v>
      </c>
      <c r="D13" s="11" t="n">
        <v>0</v>
      </c>
      <c r="E13" s="11">
        <f>B13+C13+D13</f>
        <v/>
      </c>
      <c r="F13" s="11">
        <f>E13-E12</f>
        <v/>
      </c>
    </row>
    <row r="14">
      <c r="A14" s="10" t="inlineStr">
        <is>
          <t>Mois 11</t>
        </is>
      </c>
      <c r="B14" s="11" t="n">
        <v>0</v>
      </c>
      <c r="C14" s="11" t="n">
        <v>0</v>
      </c>
      <c r="D14" s="11" t="n">
        <v>0</v>
      </c>
      <c r="E14" s="11">
        <f>B14+C14+D14</f>
        <v/>
      </c>
      <c r="F14" s="11">
        <f>E14-E13</f>
        <v/>
      </c>
    </row>
    <row r="15">
      <c r="A15" s="10" t="inlineStr">
        <is>
          <t>Mois 12</t>
        </is>
      </c>
      <c r="B15" s="11" t="n">
        <v>0</v>
      </c>
      <c r="C15" s="11" t="n">
        <v>0</v>
      </c>
      <c r="D15" s="11" t="n">
        <v>0</v>
      </c>
      <c r="E15" s="11">
        <f>B15+C15+D15</f>
        <v/>
      </c>
      <c r="F15" s="11">
        <f>E15-E14</f>
        <v/>
      </c>
    </row>
    <row r="18">
      <c r="A18" s="3" t="inlineStr">
        <is>
          <t>📊 STATISTIQUES</t>
        </is>
      </c>
    </row>
    <row r="19">
      <c r="A19" s="16" t="inlineStr">
        <is>
          <t>Patrimoine actuel:</t>
        </is>
      </c>
      <c r="B19" s="17">
        <f>E6</f>
        <v/>
      </c>
    </row>
    <row r="20">
      <c r="A20" s="16" t="inlineStr">
        <is>
          <t>Croissance moyenne/mois:</t>
        </is>
      </c>
      <c r="B20" s="17">
        <f>AVERAGE(F4:F6)</f>
        <v/>
      </c>
    </row>
    <row r="21">
      <c r="A21" s="16" t="inlineStr">
        <is>
          <t>Objectif fin 2025:</t>
        </is>
      </c>
      <c r="B21" s="17">
        <f>E6+9*((B6-B4)/2+(C6-C4)/2+1000)</f>
        <v/>
      </c>
    </row>
    <row r="22">
      <c r="A22" s="16" t="inlineStr">
        <is>
          <t>Mois d'épargne d'urgence:</t>
        </is>
      </c>
      <c r="B22" s="41">
        <f>E6/14000</f>
        <v/>
      </c>
    </row>
  </sheetData>
  <mergeCells count="2">
    <mergeCell ref="A18:D18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2026-01-20T21:16:00Z</dcterms:created>
  <dcterms:modified xsi:type="dcterms:W3CDTF">2026-01-20T21:16:00Z</dcterms:modified>
</cp:coreProperties>
</file>